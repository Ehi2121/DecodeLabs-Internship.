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5EF11F55-0941-4C72-A18E-6A6C4FB5DFE9}" xr6:coauthVersionLast="47" xr6:coauthVersionMax="47" xr10:uidLastSave="{00000000-0000-0000-0000-000000000000}"/>
  <bookViews>
    <workbookView xWindow="-110" yWindow="-110" windowWidth="19420" windowHeight="10300" xr2:uid="{7FD81674-4100-49C4-95D6-F72275756201}"/>
  </bookViews>
  <sheets>
    <sheet name="EDA Report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3" i="1" l="1"/>
  <c r="F63" i="1"/>
  <c r="D63" i="1"/>
  <c r="G62" i="1"/>
  <c r="F62" i="1"/>
  <c r="D62" i="1"/>
  <c r="G61" i="1"/>
  <c r="F61" i="1"/>
  <c r="D61" i="1"/>
  <c r="G60" i="1"/>
  <c r="F60" i="1"/>
  <c r="D60" i="1"/>
  <c r="G59" i="1"/>
  <c r="F59" i="1"/>
  <c r="D59" i="1"/>
  <c r="G58" i="1"/>
  <c r="F58" i="1"/>
  <c r="D58" i="1"/>
  <c r="G57" i="1"/>
  <c r="F57" i="1"/>
  <c r="D57" i="1"/>
  <c r="G56" i="1"/>
  <c r="F56" i="1"/>
  <c r="D56" i="1"/>
  <c r="G55" i="1"/>
  <c r="F55" i="1"/>
  <c r="D55" i="1"/>
  <c r="D54" i="1"/>
</calcChain>
</file>

<file path=xl/sharedStrings.xml><?xml version="1.0" encoding="utf-8"?>
<sst xmlns="http://schemas.openxmlformats.org/spreadsheetml/2006/main" count="125" uniqueCount="95">
  <si>
    <t>Exploratory Data Analysis Report</t>
  </si>
  <si>
    <t>Dataset: 1,200 orders  |  Period: Jan 2023 – Jun 2025  |  7 Product Categories</t>
  </si>
  <si>
    <t>Total Orders</t>
  </si>
  <si>
    <t>Total Revenue</t>
  </si>
  <si>
    <t>Mean Order Value</t>
  </si>
  <si>
    <t>Median Order Value</t>
  </si>
  <si>
    <t>Avg Items in Cart</t>
  </si>
  <si>
    <t>1,200</t>
  </si>
  <si>
    <t>$1,054</t>
  </si>
  <si>
    <t>$824</t>
  </si>
  <si>
    <t>5.49</t>
  </si>
  <si>
    <t>PRODUCT  SUMMARY</t>
  </si>
  <si>
    <t>Product</t>
  </si>
  <si>
    <t>Cancelled</t>
  </si>
  <si>
    <t>Delivered</t>
  </si>
  <si>
    <t>Pending</t>
  </si>
  <si>
    <t>Returned</t>
  </si>
  <si>
    <t>Shipped</t>
  </si>
  <si>
    <t>Chair</t>
  </si>
  <si>
    <t>Printer</t>
  </si>
  <si>
    <t>Laptop</t>
  </si>
  <si>
    <t>Tablet</t>
  </si>
  <si>
    <t>Monitor</t>
  </si>
  <si>
    <t>Desk</t>
  </si>
  <si>
    <t>Phone</t>
  </si>
  <si>
    <t>Avg Order Value</t>
  </si>
  <si>
    <t>Avg Unit Price</t>
  </si>
  <si>
    <t>Avg Qty</t>
  </si>
  <si>
    <t>DESCRIPTIVE STATISTICS</t>
  </si>
  <si>
    <t>Variable</t>
  </si>
  <si>
    <t>Total Price ($)</t>
  </si>
  <si>
    <t>Unit Price ($)</t>
  </si>
  <si>
    <t>Quantity (units)</t>
  </si>
  <si>
    <t>Items In Cart</t>
  </si>
  <si>
    <t>Count</t>
  </si>
  <si>
    <t>Mean</t>
  </si>
  <si>
    <t>Median</t>
  </si>
  <si>
    <t>Std Dev</t>
  </si>
  <si>
    <t>Min</t>
  </si>
  <si>
    <t>Max</t>
  </si>
  <si>
    <t>Q1 (25%)</t>
  </si>
  <si>
    <t>Q3 (75%)</t>
  </si>
  <si>
    <t>OUTLIER ORDERS</t>
  </si>
  <si>
    <t>Order ID</t>
  </si>
  <si>
    <t>Quantity</t>
  </si>
  <si>
    <t>Order Status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</si>
  <si>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</si>
  <si>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</si>
  <si>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</si>
  <si>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</si>
  <si>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</si>
  <si>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</si>
  <si>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</si>
  <si>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</si>
  <si>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TRENDS</t>
  </si>
  <si>
    <t>Quarter</t>
  </si>
  <si>
    <t>Orders</t>
  </si>
  <si>
    <t>Revenue ($)</t>
  </si>
  <si>
    <t>Avg Order Value ($)</t>
  </si>
  <si>
    <t>Avg Qty / Order</t>
  </si>
  <si>
    <t>QoQ Revenue Change</t>
  </si>
  <si>
    <t>QoQ Orders Change</t>
  </si>
  <si>
    <t>Performance Note</t>
  </si>
  <si>
    <t>2023Q1</t>
  </si>
  <si>
    <t>—</t>
  </si>
  <si>
    <t>Strong start — highest avg order value ($1,145)</t>
  </si>
  <si>
    <t>2023Q2</t>
  </si>
  <si>
    <t>Stable Q2 — minor dip in revenue</t>
  </si>
  <si>
    <t>2023Q3</t>
  </si>
  <si>
    <t>Revenue dip — avg order value drops below $1,022</t>
  </si>
  <si>
    <t>2023Q4</t>
  </si>
  <si>
    <t>Recovery — most orders in 2023 (134)</t>
  </si>
  <si>
    <t>2024Q1</t>
  </si>
  <si>
    <t>Slowdown in order volume (100 orders)</t>
  </si>
  <si>
    <t>2024Q2</t>
  </si>
  <si>
    <t>Peak quarter — highest revenue ($145,591)</t>
  </si>
  <si>
    <t>2024Q3</t>
  </si>
  <si>
    <t>Volume &amp; value both fall Q-on-Q</t>
  </si>
  <si>
    <t>2024Q4</t>
  </si>
  <si>
    <t>Continued softness — avg qty lowest since Q1 2023</t>
  </si>
  <si>
    <t>2025Q1</t>
  </si>
  <si>
    <t>Lowest avg order value ($917) in dataset</t>
  </si>
  <si>
    <t>2025Q2</t>
  </si>
  <si>
    <t>Partial recovery — revenue rebounds to $128k</t>
  </si>
  <si>
    <t>Key Summary</t>
  </si>
  <si>
    <t>I looked at 1,200 orders from January 2023 to June 2025 across seven product categories.</t>
  </si>
  <si>
    <t>The average order value is $1,054 but the median is only $824, meaning a few large orders are pulling the average up.</t>
  </si>
  <si>
    <t>Cancelled orders are the biggest group (251, ~21%), and together with returns (247), nearly 42% of orders never reached the customer.</t>
  </si>
  <si>
    <t>Chair and Printer brought in the most revenue at about $195,600 each, while Laptops had the highest average order value at $1,111.</t>
  </si>
  <si>
    <t>Revenue had no clear seasonal pattern, but Q2 2024 was the busiest quarter with $145,591 in revenue.</t>
  </si>
  <si>
    <t>All five payment methods were used almost equally, each making up 19–22% of orders.</t>
  </si>
  <si>
    <t>Instagram drove the most orders at 259, just ahead of Email (250) and Google (241).</t>
  </si>
  <si>
    <t>Most customers used a coupon — about 74% of orders had a discount code, with FREESHIP being the most used (313 times).</t>
  </si>
  <si>
    <t>Only 8 orders were unusually high in value (above $3,330), all with the maximum quantity of 5 units.</t>
  </si>
  <si>
    <t>Delivery rates were low for every product (15.6%–24.4%), which points to a fulfillment problem worth looking into.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</si>
</sst>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\$#,##0.00"/>
    <numFmt numFmtId="165" formatCode="\+0.0%;\-0.0%;0.0%"/>
  </numFmts>
  <fonts count="2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4"/>
      <color theme="1"/>
      <name val="Amasis MT Pro Medium"/>
      <family val="1"/>
    </font>
    <font>
      <sz val="14"/>
      <color theme="1"/>
      <name val="Amasis MT Pro Medium"/>
      <family val="1"/>
    </font>
    <font>
      <b/>
      <sz val="11"/>
      <color theme="1"/>
      <name val="Amasis MT Pro Medium"/>
      <family val="1"/>
    </font>
    <font>
      <sz val="11"/>
      <color theme="1"/>
      <name val="Amasis MT Pro Medium"/>
      <family val="1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0"/>
      <name val="Arial"/>
      <family val="2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theme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E2EFDA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rgb="FFFFF8E7"/>
      </patternFill>
    </fill>
    <fill>
      <patternFill patternType="solid">
        <fgColor theme="0"/>
        <bgColor rgb="FFFFE5E5"/>
      </patternFill>
    </fill>
    <fill>
      <patternFill patternType="solid">
        <fgColor theme="0"/>
        <bgColor rgb="FFF0F7FF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F9FBFF"/>
      </patternFill>
    </fill>
    <fill>
      <patternFill patternType="solid">
        <fgColor theme="0"/>
        <bgColor rgb="FF800000"/>
      </patternFill>
    </fill>
    <fill>
      <patternFill patternType="solid">
        <fgColor theme="0"/>
        <bgColor rgb="FFFFF8F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0" borderId="0" xfId="0" applyFont="1"/>
    <xf numFmtId="0" fontId="6" fillId="2" borderId="2" xfId="0" applyFont="1" applyFill="1" applyBorder="1" applyAlignment="1">
      <alignment vertical="center"/>
    </xf>
    <xf numFmtId="6" fontId="7" fillId="3" borderId="2" xfId="0" applyNumberFormat="1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10" fillId="0" borderId="6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164" fontId="11" fillId="0" borderId="9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3" fillId="7" borderId="6" xfId="0" applyFont="1" applyFill="1" applyBorder="1" applyAlignment="1">
      <alignment horizontal="center" vertical="center" wrapText="1"/>
    </xf>
    <xf numFmtId="164" fontId="11" fillId="6" borderId="2" xfId="0" applyNumberFormat="1" applyFont="1" applyFill="1" applyBorder="1" applyAlignment="1">
      <alignment horizontal="center" vertical="center" wrapText="1"/>
    </xf>
    <xf numFmtId="164" fontId="11" fillId="8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164" fontId="11" fillId="6" borderId="9" xfId="0" applyNumberFormat="1" applyFont="1" applyFill="1" applyBorder="1" applyAlignment="1">
      <alignment horizontal="center" vertical="center" wrapText="1"/>
    </xf>
    <xf numFmtId="164" fontId="11" fillId="8" borderId="9" xfId="0" applyNumberFormat="1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1" fillId="10" borderId="6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center" vertical="center"/>
    </xf>
    <xf numFmtId="164" fontId="11" fillId="10" borderId="2" xfId="0" applyNumberFormat="1" applyFont="1" applyFill="1" applyBorder="1" applyAlignment="1">
      <alignment horizontal="center" vertical="center"/>
    </xf>
    <xf numFmtId="164" fontId="15" fillId="10" borderId="2" xfId="0" applyNumberFormat="1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left" vertical="center"/>
    </xf>
    <xf numFmtId="0" fontId="11" fillId="10" borderId="8" xfId="0" applyFont="1" applyFill="1" applyBorder="1" applyAlignment="1">
      <alignment horizontal="left" vertical="center"/>
    </xf>
    <xf numFmtId="0" fontId="11" fillId="10" borderId="9" xfId="0" applyFont="1" applyFill="1" applyBorder="1" applyAlignment="1">
      <alignment horizontal="left" vertical="center" wrapText="1"/>
    </xf>
    <xf numFmtId="0" fontId="11" fillId="10" borderId="9" xfId="0" applyFont="1" applyFill="1" applyBorder="1" applyAlignment="1">
      <alignment horizontal="center" vertical="center"/>
    </xf>
    <xf numFmtId="164" fontId="11" fillId="10" borderId="9" xfId="0" applyNumberFormat="1" applyFont="1" applyFill="1" applyBorder="1" applyAlignment="1">
      <alignment horizontal="center" vertical="center"/>
    </xf>
    <xf numFmtId="164" fontId="15" fillId="10" borderId="9" xfId="0" applyNumberFormat="1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6" fillId="0" borderId="0" xfId="0" applyFont="1"/>
    <xf numFmtId="0" fontId="15" fillId="6" borderId="6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 wrapText="1"/>
    </xf>
    <xf numFmtId="164" fontId="11" fillId="6" borderId="2" xfId="0" applyNumberFormat="1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 wrapText="1"/>
    </xf>
    <xf numFmtId="0" fontId="17" fillId="0" borderId="0" xfId="0" applyFont="1"/>
    <xf numFmtId="0" fontId="15" fillId="8" borderId="6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165" fontId="18" fillId="8" borderId="2" xfId="0" applyNumberFormat="1" applyFont="1" applyFill="1" applyBorder="1" applyAlignment="1">
      <alignment horizontal="center" vertical="center"/>
    </xf>
    <xf numFmtId="165" fontId="15" fillId="8" borderId="2" xfId="0" applyNumberFormat="1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 wrapText="1"/>
    </xf>
    <xf numFmtId="165" fontId="18" fillId="6" borderId="2" xfId="0" applyNumberFormat="1" applyFont="1" applyFill="1" applyBorder="1" applyAlignment="1">
      <alignment horizontal="center" vertical="center"/>
    </xf>
    <xf numFmtId="165" fontId="15" fillId="6" borderId="2" xfId="0" applyNumberFormat="1" applyFont="1" applyFill="1" applyBorder="1" applyAlignment="1">
      <alignment horizontal="center" vertical="center"/>
    </xf>
    <xf numFmtId="165" fontId="19" fillId="8" borderId="2" xfId="0" applyNumberFormat="1" applyFont="1" applyFill="1" applyBorder="1" applyAlignment="1">
      <alignment horizontal="center" vertical="center"/>
    </xf>
    <xf numFmtId="165" fontId="19" fillId="6" borderId="2" xfId="0" applyNumberFormat="1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left" vertical="center"/>
    </xf>
    <xf numFmtId="0" fontId="11" fillId="8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/>
    </xf>
    <xf numFmtId="165" fontId="19" fillId="8" borderId="9" xfId="0" applyNumberFormat="1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FF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+0.0%;\-0.0%;0.0%"/>
      <fill>
        <patternFill patternType="solid">
          <fgColor rgb="FFF9FB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\+0.0%;\-0.0%;0.0%"/>
      <fill>
        <patternFill patternType="solid">
          <fgColor rgb="FFF9FB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9FB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9FB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FF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FF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8F0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FF8F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FF8F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8F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8F0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8F0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0F7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9FBFF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solid">
          <fgColor rgb="FFF0F7FF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3366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$#,##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0F7FF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0F7FF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0F7FF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0F7FF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0F7FF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0F7FF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0F7FF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rgb="FFF0F7FF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rgb="FF4472C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9AB63-CBD2-497B-8364-77D148C06488}" name="Table2" displayName="Table2" ref="A10:G17" totalsRowShown="0" headerRowDxfId="58" dataDxfId="56" headerRowBorderDxfId="57" tableBorderDxfId="55" totalsRowBorderDxfId="54">
  <autoFilter ref="A10:G17" xr:uid="{2909AB63-CBD2-497B-8364-77D148C06488}"/>
  <tableColumns count="7">
    <tableColumn id="1" xr3:uid="{1409AEB5-641D-4F74-B28D-35DF2825E3F9}" name="Product" dataDxfId="53"/>
    <tableColumn id="2" xr3:uid="{EBF93852-B6C8-4418-8148-C25F9746ABD7}" name="Cancelled" dataDxfId="52"/>
    <tableColumn id="3" xr3:uid="{D99D016C-F2EA-4785-84EE-D95D3D343996}" name="Delivered" dataDxfId="51"/>
    <tableColumn id="4" xr3:uid="{FDA1BCF3-0E2D-42E3-906A-701B0613078C}" name="Pending" dataDxfId="50"/>
    <tableColumn id="5" xr3:uid="{400E27F8-9E9C-4303-85C4-39904E1BE1DA}" name="Returned" dataDxfId="49"/>
    <tableColumn id="6" xr3:uid="{2DFB8904-6A2D-41B2-BBE5-7817447E5076}" name="Shipped" dataDxfId="48"/>
    <tableColumn id="7" xr3:uid="{152B72FD-3EBE-42E9-98C5-384930BD5E15}" name="Total Orders" dataDxfId="4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2161B5-EC2D-4978-83AA-38A6855D9E78}" name="Table3" displayName="Table3" ref="A19:E26" totalsRowShown="0" headerRowDxfId="46" dataDxfId="44" headerRowBorderDxfId="45" tableBorderDxfId="43" totalsRowBorderDxfId="42">
  <autoFilter ref="A19:E26" xr:uid="{9C2161B5-EC2D-4978-83AA-38A6855D9E78}"/>
  <tableColumns count="5">
    <tableColumn id="1" xr3:uid="{F59FE018-C0E0-44BD-ACC6-D6735AC4C9E3}" name="Product" dataDxfId="41"/>
    <tableColumn id="2" xr3:uid="{4D083C9C-309B-45CF-A67D-659529BB0DA0}" name="Total Revenue" dataDxfId="40"/>
    <tableColumn id="3" xr3:uid="{3889F14E-E91D-47D0-BEFD-C7AE472A6C82}" name="Avg Order Value" dataDxfId="39"/>
    <tableColumn id="4" xr3:uid="{91758519-351D-45C4-ACD2-7838C78BC3F5}" name="Avg Unit Price" dataDxfId="38"/>
    <tableColumn id="5" xr3:uid="{38955A29-9D9F-4135-8C92-B3C6B3455E08}" name="Avg Qty" dataDxfId="3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FDF433-C55A-46C8-BE6F-240488F28B2C}" name="Table4" displayName="Table4" ref="A30:E38" totalsRowShown="0" headerRowDxfId="36" dataDxfId="34" headerRowBorderDxfId="35" tableBorderDxfId="33" totalsRowBorderDxfId="32">
  <autoFilter ref="A30:E38" xr:uid="{79FDF433-C55A-46C8-BE6F-240488F28B2C}"/>
  <tableColumns count="5">
    <tableColumn id="1" xr3:uid="{76F63557-84CE-46FF-9CF3-5D7EAEAD490B}" name="Variable" dataDxfId="31"/>
    <tableColumn id="2" xr3:uid="{1D4C007E-CF2B-48C3-AD14-00EB47729E71}" name="Total Price ($)" dataDxfId="30"/>
    <tableColumn id="3" xr3:uid="{2928BDE4-EDBA-49CD-9A1B-06A3761A2020}" name="Unit Price ($)" dataDxfId="29"/>
    <tableColumn id="4" xr3:uid="{37113098-9F9B-47F4-AFD9-E14C8C37F9B2}" name="Quantity (units)" dataDxfId="28"/>
    <tableColumn id="5" xr3:uid="{A9761943-3937-4C0E-81C1-FD93BD4A2B54}" name="Items In Cart" dataDxfId="2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2895F4-0BEA-4CE0-B641-BF8B0CB7C4EB}" name="Table5" displayName="Table5" ref="A42:F50" totalsRowShown="0" headerRowDxfId="26" dataDxfId="24" headerRowBorderDxfId="25" tableBorderDxfId="23" totalsRowBorderDxfId="22">
  <autoFilter ref="A42:F50" xr:uid="{AE2895F4-0BEA-4CE0-B641-BF8B0CB7C4EB}"/>
  <tableColumns count="6">
    <tableColumn id="1" xr3:uid="{655172C9-75F4-4E92-B07B-DACDAF8E21DC}" name="Order ID" dataDxfId="21"/>
    <tableColumn id="2" xr3:uid="{4E3D4E81-091B-42B6-9760-CD252322BAED}" name="Product" dataDxfId="20"/>
    <tableColumn id="3" xr3:uid="{ABB2E02A-9A79-4911-8F19-F166899F6557}" name="Quantity" dataDxfId="19"/>
    <tableColumn id="4" xr3:uid="{B334CD9C-27DF-472C-AD16-BB020D33CDF5}" name="Unit Price ($)" dataDxfId="18"/>
    <tableColumn id="5" xr3:uid="{D1F35B2F-984F-4432-9806-85E35320A8AC}" name="Total Price ($)" dataDxfId="17"/>
    <tableColumn id="6" xr3:uid="{815B8073-45ED-426A-B25D-C32A14BE78CF}" name="Order Status" dataDxfId="1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9723AE-5840-4F16-9F0A-7D2E5CCF905E}" name="Table6" displayName="Table6" ref="A53:H63" totalsRowShown="0" headerRowDxfId="15" dataDxfId="13" headerRowBorderDxfId="14" tableBorderDxfId="12" totalsRowBorderDxfId="11">
  <autoFilter ref="A53:H63" xr:uid="{869723AE-5840-4F16-9F0A-7D2E5CCF905E}"/>
  <tableColumns count="8">
    <tableColumn id="1" xr3:uid="{D8968A6E-06D1-412E-BFF3-CBE91A3B98C4}" name="Quarter" dataDxfId="10"/>
    <tableColumn id="2" xr3:uid="{C22DFAAD-8EAB-4988-A984-C41AE9C37B6C}" name="Orders" dataDxfId="9"/>
    <tableColumn id="3" xr3:uid="{1FA4B90E-4F61-4343-84B4-1E42126F65EB}" name="Revenue ($)" dataDxfId="8"/>
    <tableColumn id="4" xr3:uid="{9EFD5E6C-81A4-4EA8-9C06-65A19872CF85}" name="Avg Order Value ($)" dataDxfId="7">
      <calculatedColumnFormula>C54/B54</calculatedColumnFormula>
    </tableColumn>
    <tableColumn id="5" xr3:uid="{9568A261-90D3-4329-A086-2D5A9AA62C98}" name="Avg Qty / Order" dataDxfId="6"/>
    <tableColumn id="6" xr3:uid="{8EBEB057-5C0A-4484-96A8-946EF0A4FAFA}" name="QoQ Revenue Change" dataDxfId="5">
      <calculatedColumnFormula>(C54-C53)/C53</calculatedColumnFormula>
    </tableColumn>
    <tableColumn id="7" xr3:uid="{047BB674-2F63-47EF-A04B-33DAD66CB88B}" name="QoQ Orders Change" dataDxfId="4">
      <calculatedColumnFormula>(B54-B53)/B53</calculatedColumnFormula>
    </tableColumn>
    <tableColumn id="8" xr3:uid="{9170A3E0-3F22-4883-A371-8A1CDC3531A0}" name="Performance Note" dataDxfId="3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444566-7153-4F3D-858B-29DF2B876BF7}" name="Table9" displayName="Table9" ref="A1:A11" totalsRowShown="0" headerRowDxfId="2" dataDxfId="1">
  <autoFilter ref="A1:A11" xr:uid="{33444566-7153-4F3D-858B-29DF2B876BF7}"/>
  <tableColumns count="1">
    <tableColumn id="1" xr3:uid="{4C08F138-9F02-4DF1-A9C0-71138BDD4C6E}" name="Key Summar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B368-459C-40CF-BE3A-A06C758BD4BB}">
  <dimension ref="A1:Y304"/>
  <sheetViews>
    <sheetView tabSelected="1" zoomScale="76" workbookViewId="0">
      <selection activeCell="P53" sqref="P53"/>
    </sheetView>
  </sheetViews>
  <sheetFormatPr defaultRowHeight="14.5" x14ac:dyDescent="0.35"/>
  <cols>
    <col min="1" max="1" width="22.453125" customWidth="1"/>
    <col min="2" max="2" width="20.6328125" customWidth="1"/>
    <col min="3" max="3" width="19.54296875" bestFit="1" customWidth="1"/>
    <col min="4" max="4" width="21.08984375" bestFit="1" customWidth="1"/>
    <col min="5" max="5" width="18.54296875" bestFit="1" customWidth="1"/>
    <col min="6" max="6" width="17.1796875" bestFit="1" customWidth="1"/>
    <col min="7" max="7" width="16.26953125" bestFit="1" customWidth="1"/>
    <col min="8" max="8" width="26.54296875" customWidth="1"/>
  </cols>
  <sheetData>
    <row r="1" spans="1:25" ht="9" customHeight="1" x14ac:dyDescent="0.65">
      <c r="A1" s="90" t="s">
        <v>0</v>
      </c>
      <c r="B1" s="90"/>
      <c r="C1" s="90"/>
      <c r="D1" s="90"/>
      <c r="E1" s="90"/>
      <c r="F1" s="1"/>
      <c r="G1" s="1"/>
      <c r="H1" s="1"/>
      <c r="I1" s="1"/>
    </row>
    <row r="2" spans="1:25" ht="8.5" customHeight="1" x14ac:dyDescent="0.65">
      <c r="A2" s="90"/>
      <c r="B2" s="90"/>
      <c r="C2" s="90"/>
      <c r="D2" s="90"/>
      <c r="E2" s="90"/>
      <c r="F2" s="1"/>
      <c r="G2" s="1"/>
      <c r="H2" s="1"/>
      <c r="I2" s="1"/>
    </row>
    <row r="3" spans="1:25" ht="6.5" customHeight="1" x14ac:dyDescent="0.65">
      <c r="A3" s="90"/>
      <c r="B3" s="90"/>
      <c r="C3" s="90"/>
      <c r="D3" s="90"/>
      <c r="E3" s="90"/>
      <c r="F3" s="1"/>
      <c r="G3" s="1"/>
      <c r="H3" s="1"/>
      <c r="I3" s="1"/>
    </row>
    <row r="4" spans="1:25" ht="18.5" x14ac:dyDescent="0.45">
      <c r="A4" s="91" t="s">
        <v>1</v>
      </c>
      <c r="B4" s="91"/>
      <c r="C4" s="91"/>
      <c r="D4" s="91"/>
      <c r="E4" s="91"/>
      <c r="F4" s="2"/>
      <c r="G4" s="2"/>
      <c r="H4" s="2"/>
      <c r="I4" s="2"/>
    </row>
    <row r="5" spans="1:25" x14ac:dyDescent="0.35">
      <c r="A5" s="3" t="s">
        <v>2</v>
      </c>
      <c r="B5" s="4" t="s">
        <v>3</v>
      </c>
      <c r="C5" s="5" t="s">
        <v>4</v>
      </c>
      <c r="D5" s="6" t="s">
        <v>5</v>
      </c>
      <c r="E5" s="7" t="s">
        <v>6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20" x14ac:dyDescent="0.35">
      <c r="A6" s="9" t="s">
        <v>7</v>
      </c>
      <c r="B6" s="10">
        <v>1264762</v>
      </c>
      <c r="C6" s="11" t="s">
        <v>8</v>
      </c>
      <c r="D6" s="12" t="s">
        <v>9</v>
      </c>
      <c r="E6" s="13" t="s">
        <v>10</v>
      </c>
    </row>
    <row r="7" spans="1:25" x14ac:dyDescent="0.35">
      <c r="B7" s="14"/>
    </row>
    <row r="8" spans="1:25" x14ac:dyDescent="0.35">
      <c r="A8" s="92" t="s">
        <v>11</v>
      </c>
      <c r="B8" s="92"/>
      <c r="C8" s="92"/>
      <c r="D8" s="92"/>
      <c r="E8" s="92"/>
      <c r="F8" s="92"/>
      <c r="G8" s="92"/>
    </row>
    <row r="9" spans="1:25" x14ac:dyDescent="0.35">
      <c r="A9" s="93"/>
      <c r="B9" s="93"/>
      <c r="C9" s="93"/>
      <c r="D9" s="93"/>
      <c r="E9" s="93"/>
      <c r="F9" s="93"/>
      <c r="G9" s="93"/>
    </row>
    <row r="10" spans="1:25" x14ac:dyDescent="0.35">
      <c r="A10" s="15" t="s">
        <v>12</v>
      </c>
      <c r="B10" s="16" t="s">
        <v>13</v>
      </c>
      <c r="C10" s="17" t="s">
        <v>14</v>
      </c>
      <c r="D10" s="17" t="s">
        <v>15</v>
      </c>
      <c r="E10" s="17" t="s">
        <v>16</v>
      </c>
      <c r="F10" s="17" t="s">
        <v>17</v>
      </c>
      <c r="G10" s="18" t="s">
        <v>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x14ac:dyDescent="0.35">
      <c r="A11" s="20" t="s">
        <v>18</v>
      </c>
      <c r="B11" s="21">
        <v>45</v>
      </c>
      <c r="C11" s="22">
        <v>33</v>
      </c>
      <c r="D11" s="22">
        <v>41</v>
      </c>
      <c r="E11" s="22">
        <v>28</v>
      </c>
      <c r="F11" s="22">
        <v>31</v>
      </c>
      <c r="G11" s="23">
        <v>178</v>
      </c>
    </row>
    <row r="12" spans="1:25" x14ac:dyDescent="0.35">
      <c r="A12" s="20" t="s">
        <v>19</v>
      </c>
      <c r="B12" s="21">
        <v>35</v>
      </c>
      <c r="C12" s="22">
        <v>32</v>
      </c>
      <c r="D12" s="22">
        <v>38</v>
      </c>
      <c r="E12" s="22">
        <v>32</v>
      </c>
      <c r="F12" s="22">
        <v>33</v>
      </c>
      <c r="G12" s="23">
        <v>181</v>
      </c>
    </row>
    <row r="13" spans="1:25" x14ac:dyDescent="0.35">
      <c r="A13" s="20" t="s">
        <v>20</v>
      </c>
      <c r="B13" s="21">
        <v>35</v>
      </c>
      <c r="C13" s="22">
        <v>40</v>
      </c>
      <c r="D13" s="22">
        <v>30</v>
      </c>
      <c r="E13" s="22">
        <v>39</v>
      </c>
      <c r="F13" s="22">
        <v>29</v>
      </c>
      <c r="G13" s="23">
        <v>173</v>
      </c>
    </row>
    <row r="14" spans="1:25" x14ac:dyDescent="0.35">
      <c r="A14" s="20" t="s">
        <v>21</v>
      </c>
      <c r="B14" s="21">
        <v>35</v>
      </c>
      <c r="C14" s="22">
        <v>31</v>
      </c>
      <c r="D14" s="22">
        <v>29</v>
      </c>
      <c r="E14" s="22">
        <v>36</v>
      </c>
      <c r="F14" s="22">
        <v>32</v>
      </c>
      <c r="G14" s="23">
        <v>179</v>
      </c>
    </row>
    <row r="15" spans="1:25" x14ac:dyDescent="0.35">
      <c r="A15" s="20" t="s">
        <v>22</v>
      </c>
      <c r="B15" s="21">
        <v>32</v>
      </c>
      <c r="C15" s="22">
        <v>38</v>
      </c>
      <c r="D15" s="22">
        <v>28</v>
      </c>
      <c r="E15" s="22">
        <v>31</v>
      </c>
      <c r="F15" s="22">
        <v>27</v>
      </c>
      <c r="G15" s="23">
        <v>163</v>
      </c>
    </row>
    <row r="16" spans="1:25" x14ac:dyDescent="0.35">
      <c r="A16" s="20" t="s">
        <v>23</v>
      </c>
      <c r="B16" s="21">
        <v>35</v>
      </c>
      <c r="C16" s="22">
        <v>29</v>
      </c>
      <c r="D16" s="22">
        <v>37</v>
      </c>
      <c r="E16" s="22">
        <v>38</v>
      </c>
      <c r="F16" s="22">
        <v>42</v>
      </c>
      <c r="G16" s="23">
        <v>170</v>
      </c>
    </row>
    <row r="17" spans="1:25" x14ac:dyDescent="0.35">
      <c r="A17" s="24" t="s">
        <v>24</v>
      </c>
      <c r="B17" s="25">
        <v>34</v>
      </c>
      <c r="C17" s="26">
        <v>28</v>
      </c>
      <c r="D17" s="26">
        <v>34</v>
      </c>
      <c r="E17" s="26">
        <v>43</v>
      </c>
      <c r="F17" s="26">
        <v>40</v>
      </c>
      <c r="G17" s="27">
        <v>156</v>
      </c>
    </row>
    <row r="18" spans="1:25" x14ac:dyDescent="0.35">
      <c r="B18" s="14"/>
    </row>
    <row r="19" spans="1:25" x14ac:dyDescent="0.35">
      <c r="A19" s="15" t="s">
        <v>12</v>
      </c>
      <c r="B19" s="16" t="s">
        <v>3</v>
      </c>
      <c r="C19" s="17" t="s">
        <v>25</v>
      </c>
      <c r="D19" s="17" t="s">
        <v>26</v>
      </c>
      <c r="E19" s="18" t="s">
        <v>27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 x14ac:dyDescent="0.35">
      <c r="A20" s="28" t="s">
        <v>18</v>
      </c>
      <c r="B20" s="29">
        <v>195620.11</v>
      </c>
      <c r="C20" s="30">
        <v>1098.99</v>
      </c>
      <c r="D20" s="30">
        <v>355.66</v>
      </c>
      <c r="E20" s="31">
        <v>3.16</v>
      </c>
    </row>
    <row r="21" spans="1:25" x14ac:dyDescent="0.35">
      <c r="A21" s="28" t="s">
        <v>19</v>
      </c>
      <c r="B21" s="29">
        <v>195612.61</v>
      </c>
      <c r="C21" s="30">
        <v>1080.73</v>
      </c>
      <c r="D21" s="30">
        <v>351.71</v>
      </c>
      <c r="E21" s="31">
        <v>2.99</v>
      </c>
    </row>
    <row r="22" spans="1:25" x14ac:dyDescent="0.35">
      <c r="A22" s="28" t="s">
        <v>20</v>
      </c>
      <c r="B22" s="29">
        <v>192126.56</v>
      </c>
      <c r="C22" s="30">
        <v>1110.56</v>
      </c>
      <c r="D22" s="30">
        <v>357.71</v>
      </c>
      <c r="E22" s="31">
        <v>3.09</v>
      </c>
    </row>
    <row r="23" spans="1:25" x14ac:dyDescent="0.35">
      <c r="A23" s="28" t="s">
        <v>21</v>
      </c>
      <c r="B23" s="29">
        <v>186568.95</v>
      </c>
      <c r="C23" s="30">
        <v>1042.28</v>
      </c>
      <c r="D23" s="30">
        <v>367.68</v>
      </c>
      <c r="E23" s="31">
        <v>2.78</v>
      </c>
    </row>
    <row r="24" spans="1:25" x14ac:dyDescent="0.35">
      <c r="A24" s="28" t="s">
        <v>22</v>
      </c>
      <c r="B24" s="29">
        <v>175651.41</v>
      </c>
      <c r="C24" s="30">
        <v>1077.6199999999999</v>
      </c>
      <c r="D24" s="30">
        <v>358.66</v>
      </c>
      <c r="E24" s="31">
        <v>2.94</v>
      </c>
    </row>
    <row r="25" spans="1:25" x14ac:dyDescent="0.35">
      <c r="A25" s="28" t="s">
        <v>23</v>
      </c>
      <c r="B25" s="29">
        <v>167459.93</v>
      </c>
      <c r="C25" s="30">
        <v>985.06</v>
      </c>
      <c r="D25" s="30">
        <v>329.61</v>
      </c>
      <c r="E25" s="31">
        <v>2.99</v>
      </c>
    </row>
    <row r="26" spans="1:25" x14ac:dyDescent="0.35">
      <c r="A26" s="32" t="s">
        <v>24</v>
      </c>
      <c r="B26" s="33">
        <v>151722.39000000001</v>
      </c>
      <c r="C26" s="34">
        <v>972.58</v>
      </c>
      <c r="D26" s="34">
        <v>375.22</v>
      </c>
      <c r="E26" s="35">
        <v>2.63</v>
      </c>
    </row>
    <row r="27" spans="1:25" x14ac:dyDescent="0.35">
      <c r="B27" s="14"/>
    </row>
    <row r="28" spans="1:25" x14ac:dyDescent="0.35">
      <c r="B28" s="14"/>
    </row>
    <row r="29" spans="1:25" x14ac:dyDescent="0.35">
      <c r="A29" s="93" t="s">
        <v>28</v>
      </c>
      <c r="B29" s="93"/>
      <c r="C29" s="93"/>
      <c r="D29" s="93"/>
      <c r="E29" s="93"/>
    </row>
    <row r="30" spans="1:25" x14ac:dyDescent="0.35">
      <c r="A30" s="36" t="s">
        <v>29</v>
      </c>
      <c r="B30" s="37" t="s">
        <v>30</v>
      </c>
      <c r="C30" s="38" t="s">
        <v>31</v>
      </c>
      <c r="D30" s="38" t="s">
        <v>32</v>
      </c>
      <c r="E30" s="39" t="s">
        <v>33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x14ac:dyDescent="0.35">
      <c r="A31" s="40" t="s">
        <v>34</v>
      </c>
      <c r="B31" s="41">
        <v>1200</v>
      </c>
      <c r="C31" s="42">
        <v>1200</v>
      </c>
      <c r="D31" s="43">
        <v>1200</v>
      </c>
      <c r="E31" s="44">
        <v>1200</v>
      </c>
    </row>
    <row r="32" spans="1:25" x14ac:dyDescent="0.35">
      <c r="A32" s="40" t="s">
        <v>35</v>
      </c>
      <c r="B32" s="41">
        <v>1053.97</v>
      </c>
      <c r="C32" s="42">
        <v>356.41</v>
      </c>
      <c r="D32" s="43">
        <v>2.95</v>
      </c>
      <c r="E32" s="44">
        <v>5.48</v>
      </c>
    </row>
    <row r="33" spans="1:25" x14ac:dyDescent="0.35">
      <c r="A33" s="40" t="s">
        <v>36</v>
      </c>
      <c r="B33" s="41">
        <v>823.62</v>
      </c>
      <c r="C33" s="42">
        <v>364.21</v>
      </c>
      <c r="D33" s="43">
        <v>3</v>
      </c>
      <c r="E33" s="44">
        <v>5</v>
      </c>
    </row>
    <row r="34" spans="1:25" x14ac:dyDescent="0.35">
      <c r="A34" s="40" t="s">
        <v>37</v>
      </c>
      <c r="B34" s="41">
        <v>819.86</v>
      </c>
      <c r="C34" s="42">
        <v>197.18</v>
      </c>
      <c r="D34" s="43">
        <v>1.41</v>
      </c>
      <c r="E34" s="44">
        <v>2.2799999999999998</v>
      </c>
    </row>
    <row r="35" spans="1:25" x14ac:dyDescent="0.35">
      <c r="A35" s="40" t="s">
        <v>38</v>
      </c>
      <c r="B35" s="41">
        <v>11.39</v>
      </c>
      <c r="C35" s="42">
        <v>11.39</v>
      </c>
      <c r="D35" s="43">
        <v>1</v>
      </c>
      <c r="E35" s="44">
        <v>1</v>
      </c>
    </row>
    <row r="36" spans="1:25" x14ac:dyDescent="0.35">
      <c r="A36" s="40" t="s">
        <v>39</v>
      </c>
      <c r="B36" s="41">
        <v>3456.4</v>
      </c>
      <c r="C36" s="42">
        <v>699.93</v>
      </c>
      <c r="D36" s="43">
        <v>5</v>
      </c>
      <c r="E36" s="44">
        <v>10</v>
      </c>
    </row>
    <row r="37" spans="1:25" x14ac:dyDescent="0.35">
      <c r="A37" s="40" t="s">
        <v>40</v>
      </c>
      <c r="B37" s="41">
        <v>410.52</v>
      </c>
      <c r="C37" s="42">
        <v>186.06</v>
      </c>
      <c r="D37" s="43">
        <v>2</v>
      </c>
      <c r="E37" s="44">
        <v>4</v>
      </c>
    </row>
    <row r="38" spans="1:25" x14ac:dyDescent="0.35">
      <c r="A38" s="45" t="s">
        <v>41</v>
      </c>
      <c r="B38" s="46">
        <v>1578.48</v>
      </c>
      <c r="C38" s="47">
        <v>521.57000000000005</v>
      </c>
      <c r="D38" s="48">
        <v>4</v>
      </c>
      <c r="E38" s="49">
        <v>7</v>
      </c>
    </row>
    <row r="39" spans="1:25" x14ac:dyDescent="0.35">
      <c r="B39" s="14"/>
    </row>
    <row r="40" spans="1:25" x14ac:dyDescent="0.35">
      <c r="B40" s="14"/>
    </row>
    <row r="41" spans="1:25" x14ac:dyDescent="0.35">
      <c r="A41" s="94" t="s">
        <v>42</v>
      </c>
      <c r="B41" s="94"/>
      <c r="C41" s="94"/>
      <c r="D41" s="94"/>
      <c r="E41" s="94"/>
      <c r="F41" s="94"/>
    </row>
    <row r="42" spans="1:25" x14ac:dyDescent="0.35">
      <c r="A42" s="36" t="s">
        <v>43</v>
      </c>
      <c r="B42" s="50" t="s">
        <v>12</v>
      </c>
      <c r="C42" s="51" t="s">
        <v>44</v>
      </c>
      <c r="D42" s="51" t="s">
        <v>31</v>
      </c>
      <c r="E42" s="51" t="s">
        <v>30</v>
      </c>
      <c r="F42" s="52" t="s">
        <v>45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x14ac:dyDescent="0.35">
      <c r="A43" s="53" t="s">
        <v>46</v>
      </c>
      <c r="B43" s="54" t="s">
        <v>21</v>
      </c>
      <c r="C43" s="55">
        <v>5</v>
      </c>
      <c r="D43" s="56">
        <v>691.28</v>
      </c>
      <c r="E43" s="57">
        <v>3456.4</v>
      </c>
      <c r="F43" s="58" t="s">
        <v>14</v>
      </c>
    </row>
    <row r="44" spans="1:25" x14ac:dyDescent="0.35">
      <c r="A44" s="53" t="s">
        <v>47</v>
      </c>
      <c r="B44" s="54" t="s">
        <v>22</v>
      </c>
      <c r="C44" s="55">
        <v>5</v>
      </c>
      <c r="D44" s="56">
        <v>678.19</v>
      </c>
      <c r="E44" s="57">
        <v>3390.95</v>
      </c>
      <c r="F44" s="58" t="s">
        <v>16</v>
      </c>
    </row>
    <row r="45" spans="1:25" x14ac:dyDescent="0.35">
      <c r="A45" s="53" t="s">
        <v>48</v>
      </c>
      <c r="B45" s="54" t="s">
        <v>20</v>
      </c>
      <c r="C45" s="55">
        <v>5</v>
      </c>
      <c r="D45" s="56">
        <v>678.16</v>
      </c>
      <c r="E45" s="57">
        <v>3390.8</v>
      </c>
      <c r="F45" s="58" t="s">
        <v>14</v>
      </c>
    </row>
    <row r="46" spans="1:25" x14ac:dyDescent="0.35">
      <c r="A46" s="53" t="s">
        <v>49</v>
      </c>
      <c r="B46" s="54" t="s">
        <v>18</v>
      </c>
      <c r="C46" s="55">
        <v>5</v>
      </c>
      <c r="D46" s="56">
        <v>676.98</v>
      </c>
      <c r="E46" s="57">
        <v>3384.9</v>
      </c>
      <c r="F46" s="58" t="s">
        <v>13</v>
      </c>
    </row>
    <row r="47" spans="1:25" x14ac:dyDescent="0.35">
      <c r="A47" s="53" t="s">
        <v>50</v>
      </c>
      <c r="B47" s="54" t="s">
        <v>21</v>
      </c>
      <c r="C47" s="55">
        <v>5</v>
      </c>
      <c r="D47" s="56">
        <v>674.04</v>
      </c>
      <c r="E47" s="57">
        <v>3370.2</v>
      </c>
      <c r="F47" s="58" t="s">
        <v>13</v>
      </c>
    </row>
    <row r="48" spans="1:25" x14ac:dyDescent="0.35">
      <c r="A48" s="53" t="s">
        <v>51</v>
      </c>
      <c r="B48" s="54" t="s">
        <v>19</v>
      </c>
      <c r="C48" s="55">
        <v>5</v>
      </c>
      <c r="D48" s="56">
        <v>670.75</v>
      </c>
      <c r="E48" s="57">
        <v>3353.75</v>
      </c>
      <c r="F48" s="58" t="s">
        <v>17</v>
      </c>
    </row>
    <row r="49" spans="1:25" x14ac:dyDescent="0.35">
      <c r="A49" s="53" t="s">
        <v>52</v>
      </c>
      <c r="B49" s="54" t="s">
        <v>20</v>
      </c>
      <c r="C49" s="55">
        <v>5</v>
      </c>
      <c r="D49" s="56">
        <v>670.48</v>
      </c>
      <c r="E49" s="57">
        <v>3352.4</v>
      </c>
      <c r="F49" s="58" t="s">
        <v>16</v>
      </c>
    </row>
    <row r="50" spans="1:25" x14ac:dyDescent="0.35">
      <c r="A50" s="59" t="s">
        <v>53</v>
      </c>
      <c r="B50" s="60" t="s">
        <v>19</v>
      </c>
      <c r="C50" s="61">
        <v>5</v>
      </c>
      <c r="D50" s="62">
        <v>666.8</v>
      </c>
      <c r="E50" s="63">
        <v>3334</v>
      </c>
      <c r="F50" s="64" t="s">
        <v>14</v>
      </c>
    </row>
    <row r="51" spans="1:25" x14ac:dyDescent="0.35">
      <c r="B51" s="14"/>
    </row>
    <row r="52" spans="1:25" x14ac:dyDescent="0.35">
      <c r="A52" s="94" t="s">
        <v>54</v>
      </c>
      <c r="B52" s="94"/>
      <c r="C52" s="94"/>
      <c r="D52" s="94"/>
      <c r="E52" s="94"/>
      <c r="F52" s="94"/>
    </row>
    <row r="53" spans="1:25" ht="26" x14ac:dyDescent="0.35">
      <c r="A53" s="65" t="s">
        <v>55</v>
      </c>
      <c r="B53" s="16" t="s">
        <v>56</v>
      </c>
      <c r="C53" s="66" t="s">
        <v>57</v>
      </c>
      <c r="D53" s="66" t="s">
        <v>58</v>
      </c>
      <c r="E53" s="66" t="s">
        <v>59</v>
      </c>
      <c r="F53" s="66" t="s">
        <v>60</v>
      </c>
      <c r="G53" s="66" t="s">
        <v>61</v>
      </c>
      <c r="H53" s="67" t="s">
        <v>62</v>
      </c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1:25" ht="25" x14ac:dyDescent="0.35">
      <c r="A54" s="69" t="s">
        <v>63</v>
      </c>
      <c r="B54" s="70">
        <v>127</v>
      </c>
      <c r="C54" s="71">
        <v>145412.78</v>
      </c>
      <c r="D54" s="71">
        <f t="shared" ref="D54:D63" si="0">C54/B54</f>
        <v>1144.9825196850393</v>
      </c>
      <c r="E54" s="43">
        <v>2.94</v>
      </c>
      <c r="F54" s="43" t="s">
        <v>64</v>
      </c>
      <c r="G54" s="43" t="s">
        <v>64</v>
      </c>
      <c r="H54" s="72" t="s">
        <v>65</v>
      </c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</row>
    <row r="55" spans="1:25" ht="25" x14ac:dyDescent="0.35">
      <c r="A55" s="74" t="s">
        <v>66</v>
      </c>
      <c r="B55" s="75">
        <v>125</v>
      </c>
      <c r="C55" s="42">
        <v>141088.74</v>
      </c>
      <c r="D55" s="42">
        <f>C55/B55</f>
        <v>1128.70992</v>
      </c>
      <c r="E55" s="76">
        <v>3.02</v>
      </c>
      <c r="F55" s="77">
        <f t="shared" ref="F55:F63" si="1">(C55-C54)/C54</f>
        <v>-2.9736313410692019E-2</v>
      </c>
      <c r="G55" s="78">
        <f t="shared" ref="G55:G63" si="2">(B55-B54)/B54</f>
        <v>-1.5748031496062992E-2</v>
      </c>
      <c r="H55" s="79" t="s">
        <v>67</v>
      </c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</row>
    <row r="56" spans="1:25" ht="25" x14ac:dyDescent="0.35">
      <c r="A56" s="69" t="s">
        <v>68</v>
      </c>
      <c r="B56" s="70">
        <v>124</v>
      </c>
      <c r="C56" s="71">
        <v>126699.47</v>
      </c>
      <c r="D56" s="71">
        <f t="shared" si="0"/>
        <v>1021.7699193548387</v>
      </c>
      <c r="E56" s="43">
        <v>3.06</v>
      </c>
      <c r="F56" s="80">
        <f t="shared" si="1"/>
        <v>-0.10198737333680909</v>
      </c>
      <c r="G56" s="81">
        <f t="shared" si="2"/>
        <v>-8.0000000000000002E-3</v>
      </c>
      <c r="H56" s="72" t="s">
        <v>69</v>
      </c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</row>
    <row r="57" spans="1:25" ht="25" x14ac:dyDescent="0.35">
      <c r="A57" s="74" t="s">
        <v>70</v>
      </c>
      <c r="B57" s="75">
        <v>134</v>
      </c>
      <c r="C57" s="42">
        <v>139442.25</v>
      </c>
      <c r="D57" s="42">
        <f t="shared" si="0"/>
        <v>1040.6138059701493</v>
      </c>
      <c r="E57" s="76">
        <v>2.93</v>
      </c>
      <c r="F57" s="82">
        <f t="shared" si="1"/>
        <v>0.10057484849778771</v>
      </c>
      <c r="G57" s="82">
        <f t="shared" si="2"/>
        <v>8.0645161290322578E-2</v>
      </c>
      <c r="H57" s="79" t="s">
        <v>71</v>
      </c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</row>
    <row r="58" spans="1:25" ht="25" x14ac:dyDescent="0.35">
      <c r="A58" s="69" t="s">
        <v>72</v>
      </c>
      <c r="B58" s="70">
        <v>100</v>
      </c>
      <c r="C58" s="71">
        <v>111468.55</v>
      </c>
      <c r="D58" s="71">
        <f t="shared" si="0"/>
        <v>1114.6855</v>
      </c>
      <c r="E58" s="43">
        <v>3.12</v>
      </c>
      <c r="F58" s="80">
        <f t="shared" si="1"/>
        <v>-0.20061136420274342</v>
      </c>
      <c r="G58" s="80">
        <f t="shared" si="2"/>
        <v>-0.2537313432835821</v>
      </c>
      <c r="H58" s="72" t="s">
        <v>73</v>
      </c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</row>
    <row r="59" spans="1:25" ht="25" x14ac:dyDescent="0.35">
      <c r="A59" s="74" t="s">
        <v>74</v>
      </c>
      <c r="B59" s="75">
        <v>137</v>
      </c>
      <c r="C59" s="42">
        <v>145590.79</v>
      </c>
      <c r="D59" s="42">
        <f t="shared" si="0"/>
        <v>1062.7064963503651</v>
      </c>
      <c r="E59" s="76">
        <v>2.98</v>
      </c>
      <c r="F59" s="82">
        <f t="shared" si="1"/>
        <v>0.30611540205735166</v>
      </c>
      <c r="G59" s="82">
        <f t="shared" si="2"/>
        <v>0.37</v>
      </c>
      <c r="H59" s="79" t="s">
        <v>75</v>
      </c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</row>
    <row r="60" spans="1:25" ht="25" x14ac:dyDescent="0.35">
      <c r="A60" s="69" t="s">
        <v>76</v>
      </c>
      <c r="B60" s="70">
        <v>115</v>
      </c>
      <c r="C60" s="71">
        <v>114750.03</v>
      </c>
      <c r="D60" s="71">
        <f t="shared" si="0"/>
        <v>997.82634782608693</v>
      </c>
      <c r="E60" s="43">
        <v>2.89</v>
      </c>
      <c r="F60" s="80">
        <f t="shared" si="1"/>
        <v>-0.21183180611905469</v>
      </c>
      <c r="G60" s="80">
        <f t="shared" si="2"/>
        <v>-0.16058394160583941</v>
      </c>
      <c r="H60" s="72" t="s">
        <v>77</v>
      </c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</row>
    <row r="61" spans="1:25" ht="25" x14ac:dyDescent="0.35">
      <c r="A61" s="74" t="s">
        <v>78</v>
      </c>
      <c r="B61" s="75">
        <v>107</v>
      </c>
      <c r="C61" s="42">
        <v>108426.5</v>
      </c>
      <c r="D61" s="42">
        <f t="shared" si="0"/>
        <v>1013.3317757009346</v>
      </c>
      <c r="E61" s="76">
        <v>2.79</v>
      </c>
      <c r="F61" s="77">
        <f t="shared" si="1"/>
        <v>-5.5107000843485611E-2</v>
      </c>
      <c r="G61" s="77">
        <f t="shared" si="2"/>
        <v>-6.9565217391304349E-2</v>
      </c>
      <c r="H61" s="79" t="s">
        <v>79</v>
      </c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</row>
    <row r="62" spans="1:25" ht="25" x14ac:dyDescent="0.35">
      <c r="A62" s="69" t="s">
        <v>80</v>
      </c>
      <c r="B62" s="70">
        <v>113</v>
      </c>
      <c r="C62" s="71">
        <v>103617.61</v>
      </c>
      <c r="D62" s="71">
        <f t="shared" si="0"/>
        <v>916.97</v>
      </c>
      <c r="E62" s="43">
        <v>2.76</v>
      </c>
      <c r="F62" s="80">
        <f t="shared" si="1"/>
        <v>-4.4351611460297986E-2</v>
      </c>
      <c r="G62" s="83">
        <f t="shared" si="2"/>
        <v>5.6074766355140186E-2</v>
      </c>
      <c r="H62" s="72" t="s">
        <v>81</v>
      </c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spans="1:25" ht="25" x14ac:dyDescent="0.35">
      <c r="A63" s="84" t="s">
        <v>82</v>
      </c>
      <c r="B63" s="85">
        <v>118</v>
      </c>
      <c r="C63" s="47">
        <v>128265.24</v>
      </c>
      <c r="D63" s="47">
        <f t="shared" si="0"/>
        <v>1086.9935593220339</v>
      </c>
      <c r="E63" s="86">
        <v>2.95</v>
      </c>
      <c r="F63" s="87">
        <f t="shared" si="1"/>
        <v>0.23787105299958186</v>
      </c>
      <c r="G63" s="87">
        <f t="shared" si="2"/>
        <v>4.4247787610619468E-2</v>
      </c>
      <c r="H63" s="88" t="s">
        <v>83</v>
      </c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spans="1:25" ht="11" customHeight="1" x14ac:dyDescent="0.35">
      <c r="A64" s="73"/>
      <c r="B64" s="89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spans="2:2" hidden="1" x14ac:dyDescent="0.35">
      <c r="B65" s="14"/>
    </row>
    <row r="66" spans="2:2" s="14" customFormat="1" x14ac:dyDescent="0.35"/>
    <row r="67" spans="2:2" s="14" customFormat="1" x14ac:dyDescent="0.35"/>
    <row r="68" spans="2:2" s="14" customFormat="1" x14ac:dyDescent="0.35"/>
    <row r="69" spans="2:2" s="14" customFormat="1" x14ac:dyDescent="0.35"/>
    <row r="70" spans="2:2" s="14" customFormat="1" x14ac:dyDescent="0.35"/>
    <row r="71" spans="2:2" s="14" customFormat="1" x14ac:dyDescent="0.35"/>
    <row r="72" spans="2:2" s="14" customFormat="1" x14ac:dyDescent="0.35"/>
    <row r="73" spans="2:2" s="14" customFormat="1" x14ac:dyDescent="0.35"/>
    <row r="74" spans="2:2" s="14" customFormat="1" ht="44" customHeight="1" x14ac:dyDescent="0.35"/>
    <row r="75" spans="2:2" s="14" customFormat="1" ht="38" customHeight="1" x14ac:dyDescent="0.35"/>
    <row r="76" spans="2:2" s="14" customFormat="1" ht="44.5" customHeight="1" x14ac:dyDescent="0.35"/>
    <row r="77" spans="2:2" x14ac:dyDescent="0.35">
      <c r="B77" s="14"/>
    </row>
    <row r="78" spans="2:2" x14ac:dyDescent="0.35">
      <c r="B78" s="14"/>
    </row>
    <row r="79" spans="2:2" x14ac:dyDescent="0.35">
      <c r="B79" s="14"/>
    </row>
    <row r="80" spans="2:2" x14ac:dyDescent="0.35">
      <c r="B80" s="14"/>
    </row>
    <row r="81" spans="2:2" x14ac:dyDescent="0.35">
      <c r="B81" s="14"/>
    </row>
    <row r="82" spans="2:2" x14ac:dyDescent="0.35">
      <c r="B82" s="14"/>
    </row>
    <row r="83" spans="2:2" x14ac:dyDescent="0.35">
      <c r="B83" s="14"/>
    </row>
    <row r="84" spans="2:2" x14ac:dyDescent="0.35">
      <c r="B84" s="14"/>
    </row>
    <row r="85" spans="2:2" x14ac:dyDescent="0.35">
      <c r="B85" s="14"/>
    </row>
    <row r="86" spans="2:2" x14ac:dyDescent="0.35">
      <c r="B86" s="14"/>
    </row>
    <row r="87" spans="2:2" x14ac:dyDescent="0.35">
      <c r="B87" s="14"/>
    </row>
    <row r="88" spans="2:2" x14ac:dyDescent="0.35">
      <c r="B88" s="14"/>
    </row>
    <row r="89" spans="2:2" x14ac:dyDescent="0.35">
      <c r="B89" s="14"/>
    </row>
    <row r="90" spans="2:2" x14ac:dyDescent="0.35">
      <c r="B90" s="14"/>
    </row>
    <row r="91" spans="2:2" x14ac:dyDescent="0.35">
      <c r="B91" s="14"/>
    </row>
    <row r="92" spans="2:2" x14ac:dyDescent="0.35">
      <c r="B92" s="14"/>
    </row>
    <row r="93" spans="2:2" x14ac:dyDescent="0.35">
      <c r="B93" s="14"/>
    </row>
    <row r="94" spans="2:2" x14ac:dyDescent="0.35">
      <c r="B94" s="14"/>
    </row>
    <row r="95" spans="2:2" x14ac:dyDescent="0.35">
      <c r="B95" s="14"/>
    </row>
    <row r="96" spans="2:2" x14ac:dyDescent="0.35">
      <c r="B96" s="14"/>
    </row>
    <row r="97" spans="2:2" x14ac:dyDescent="0.35">
      <c r="B97" s="14"/>
    </row>
    <row r="98" spans="2:2" x14ac:dyDescent="0.35">
      <c r="B98" s="14"/>
    </row>
    <row r="99" spans="2:2" x14ac:dyDescent="0.35">
      <c r="B99" s="14"/>
    </row>
    <row r="100" spans="2:2" x14ac:dyDescent="0.35">
      <c r="B100" s="14"/>
    </row>
    <row r="101" spans="2:2" x14ac:dyDescent="0.35">
      <c r="B101" s="14"/>
    </row>
    <row r="102" spans="2:2" x14ac:dyDescent="0.35">
      <c r="B102" s="14"/>
    </row>
    <row r="103" spans="2:2" x14ac:dyDescent="0.35">
      <c r="B103" s="14"/>
    </row>
    <row r="104" spans="2:2" x14ac:dyDescent="0.35">
      <c r="B104" s="14"/>
    </row>
    <row r="105" spans="2:2" x14ac:dyDescent="0.35">
      <c r="B105" s="14"/>
    </row>
    <row r="106" spans="2:2" x14ac:dyDescent="0.35">
      <c r="B106" s="14"/>
    </row>
    <row r="107" spans="2:2" x14ac:dyDescent="0.35">
      <c r="B107" s="14"/>
    </row>
    <row r="108" spans="2:2" x14ac:dyDescent="0.35">
      <c r="B108" s="14"/>
    </row>
    <row r="109" spans="2:2" x14ac:dyDescent="0.35">
      <c r="B109" s="14"/>
    </row>
    <row r="110" spans="2:2" x14ac:dyDescent="0.35">
      <c r="B110" s="14"/>
    </row>
    <row r="111" spans="2:2" x14ac:dyDescent="0.35">
      <c r="B111" s="14"/>
    </row>
    <row r="112" spans="2:2" x14ac:dyDescent="0.35">
      <c r="B112" s="14"/>
    </row>
    <row r="113" spans="2:2" x14ac:dyDescent="0.35">
      <c r="B113" s="14"/>
    </row>
    <row r="114" spans="2:2" x14ac:dyDescent="0.35">
      <c r="B114" s="14"/>
    </row>
    <row r="115" spans="2:2" x14ac:dyDescent="0.35">
      <c r="B115" s="14"/>
    </row>
    <row r="116" spans="2:2" x14ac:dyDescent="0.35">
      <c r="B116" s="14"/>
    </row>
    <row r="117" spans="2:2" x14ac:dyDescent="0.35">
      <c r="B117" s="14"/>
    </row>
    <row r="118" spans="2:2" x14ac:dyDescent="0.35">
      <c r="B118" s="14"/>
    </row>
    <row r="119" spans="2:2" x14ac:dyDescent="0.35">
      <c r="B119" s="14"/>
    </row>
    <row r="120" spans="2:2" x14ac:dyDescent="0.35">
      <c r="B120" s="14"/>
    </row>
    <row r="121" spans="2:2" x14ac:dyDescent="0.35">
      <c r="B121" s="14"/>
    </row>
    <row r="122" spans="2:2" x14ac:dyDescent="0.35">
      <c r="B122" s="14"/>
    </row>
    <row r="123" spans="2:2" x14ac:dyDescent="0.35">
      <c r="B123" s="14"/>
    </row>
    <row r="124" spans="2:2" x14ac:dyDescent="0.35">
      <c r="B124" s="14"/>
    </row>
    <row r="125" spans="2:2" x14ac:dyDescent="0.35">
      <c r="B125" s="14"/>
    </row>
    <row r="126" spans="2:2" x14ac:dyDescent="0.35">
      <c r="B126" s="14"/>
    </row>
    <row r="127" spans="2:2" x14ac:dyDescent="0.35">
      <c r="B127" s="14"/>
    </row>
    <row r="128" spans="2:2" x14ac:dyDescent="0.35">
      <c r="B128" s="14"/>
    </row>
    <row r="129" spans="2:2" x14ac:dyDescent="0.35">
      <c r="B129" s="14"/>
    </row>
    <row r="130" spans="2:2" x14ac:dyDescent="0.35">
      <c r="B130" s="14"/>
    </row>
    <row r="131" spans="2:2" x14ac:dyDescent="0.35">
      <c r="B131" s="14"/>
    </row>
    <row r="132" spans="2:2" x14ac:dyDescent="0.35">
      <c r="B132" s="14"/>
    </row>
    <row r="133" spans="2:2" x14ac:dyDescent="0.35">
      <c r="B133" s="14"/>
    </row>
    <row r="134" spans="2:2" x14ac:dyDescent="0.35">
      <c r="B134" s="14"/>
    </row>
    <row r="135" spans="2:2" x14ac:dyDescent="0.35">
      <c r="B135" s="14"/>
    </row>
    <row r="136" spans="2:2" x14ac:dyDescent="0.35">
      <c r="B136" s="14"/>
    </row>
    <row r="137" spans="2:2" x14ac:dyDescent="0.35">
      <c r="B137" s="14"/>
    </row>
    <row r="138" spans="2:2" x14ac:dyDescent="0.35">
      <c r="B138" s="14"/>
    </row>
    <row r="139" spans="2:2" x14ac:dyDescent="0.35">
      <c r="B139" s="14"/>
    </row>
    <row r="140" spans="2:2" x14ac:dyDescent="0.35">
      <c r="B140" s="14"/>
    </row>
    <row r="141" spans="2:2" x14ac:dyDescent="0.35">
      <c r="B141" s="14"/>
    </row>
    <row r="142" spans="2:2" x14ac:dyDescent="0.35">
      <c r="B142" s="14"/>
    </row>
    <row r="143" spans="2:2" x14ac:dyDescent="0.35">
      <c r="B143" s="14"/>
    </row>
    <row r="144" spans="2:2" x14ac:dyDescent="0.35">
      <c r="B144" s="14"/>
    </row>
    <row r="145" spans="2:2" x14ac:dyDescent="0.35">
      <c r="B145" s="14"/>
    </row>
    <row r="146" spans="2:2" x14ac:dyDescent="0.35">
      <c r="B146" s="14"/>
    </row>
    <row r="147" spans="2:2" x14ac:dyDescent="0.35">
      <c r="B147" s="14"/>
    </row>
    <row r="148" spans="2:2" x14ac:dyDescent="0.35">
      <c r="B148" s="14"/>
    </row>
    <row r="149" spans="2:2" x14ac:dyDescent="0.35">
      <c r="B149" s="14"/>
    </row>
    <row r="150" spans="2:2" x14ac:dyDescent="0.35">
      <c r="B150" s="14"/>
    </row>
    <row r="151" spans="2:2" x14ac:dyDescent="0.35">
      <c r="B151" s="14"/>
    </row>
    <row r="152" spans="2:2" x14ac:dyDescent="0.35">
      <c r="B152" s="14"/>
    </row>
    <row r="153" spans="2:2" x14ac:dyDescent="0.35">
      <c r="B153" s="14"/>
    </row>
    <row r="154" spans="2:2" x14ac:dyDescent="0.35">
      <c r="B154" s="14"/>
    </row>
    <row r="155" spans="2:2" x14ac:dyDescent="0.35">
      <c r="B155" s="14"/>
    </row>
    <row r="156" spans="2:2" x14ac:dyDescent="0.35">
      <c r="B156" s="14"/>
    </row>
    <row r="157" spans="2:2" x14ac:dyDescent="0.35">
      <c r="B157" s="14"/>
    </row>
    <row r="158" spans="2:2" x14ac:dyDescent="0.35">
      <c r="B158" s="14"/>
    </row>
    <row r="159" spans="2:2" x14ac:dyDescent="0.35">
      <c r="B159" s="14"/>
    </row>
    <row r="160" spans="2:2" x14ac:dyDescent="0.35">
      <c r="B160" s="14"/>
    </row>
    <row r="161" spans="2:2" x14ac:dyDescent="0.35">
      <c r="B161" s="14"/>
    </row>
    <row r="162" spans="2:2" x14ac:dyDescent="0.35">
      <c r="B162" s="14"/>
    </row>
    <row r="163" spans="2:2" x14ac:dyDescent="0.35">
      <c r="B163" s="14"/>
    </row>
    <row r="164" spans="2:2" x14ac:dyDescent="0.35">
      <c r="B164" s="14"/>
    </row>
    <row r="165" spans="2:2" x14ac:dyDescent="0.35">
      <c r="B165" s="14"/>
    </row>
    <row r="166" spans="2:2" x14ac:dyDescent="0.35">
      <c r="B166" s="14"/>
    </row>
    <row r="167" spans="2:2" x14ac:dyDescent="0.35">
      <c r="B167" s="14"/>
    </row>
    <row r="168" spans="2:2" x14ac:dyDescent="0.35">
      <c r="B168" s="14"/>
    </row>
    <row r="169" spans="2:2" x14ac:dyDescent="0.35">
      <c r="B169" s="14"/>
    </row>
    <row r="170" spans="2:2" x14ac:dyDescent="0.35">
      <c r="B170" s="14"/>
    </row>
    <row r="171" spans="2:2" x14ac:dyDescent="0.35">
      <c r="B171" s="14"/>
    </row>
    <row r="172" spans="2:2" x14ac:dyDescent="0.35">
      <c r="B172" s="14"/>
    </row>
    <row r="173" spans="2:2" x14ac:dyDescent="0.35">
      <c r="B173" s="14"/>
    </row>
    <row r="174" spans="2:2" x14ac:dyDescent="0.35">
      <c r="B174" s="14"/>
    </row>
    <row r="175" spans="2:2" x14ac:dyDescent="0.35">
      <c r="B175" s="14"/>
    </row>
    <row r="176" spans="2:2" x14ac:dyDescent="0.35">
      <c r="B176" s="14"/>
    </row>
    <row r="177" spans="2:2" x14ac:dyDescent="0.35">
      <c r="B177" s="14"/>
    </row>
    <row r="178" spans="2:2" x14ac:dyDescent="0.35">
      <c r="B178" s="14"/>
    </row>
    <row r="179" spans="2:2" x14ac:dyDescent="0.35">
      <c r="B179" s="14"/>
    </row>
    <row r="180" spans="2:2" x14ac:dyDescent="0.35">
      <c r="B180" s="14"/>
    </row>
    <row r="181" spans="2:2" x14ac:dyDescent="0.35">
      <c r="B181" s="14"/>
    </row>
    <row r="182" spans="2:2" x14ac:dyDescent="0.35">
      <c r="B182" s="14"/>
    </row>
    <row r="183" spans="2:2" x14ac:dyDescent="0.35">
      <c r="B183" s="14"/>
    </row>
    <row r="184" spans="2:2" x14ac:dyDescent="0.35">
      <c r="B184" s="14"/>
    </row>
    <row r="185" spans="2:2" x14ac:dyDescent="0.35">
      <c r="B185" s="14"/>
    </row>
    <row r="186" spans="2:2" x14ac:dyDescent="0.35">
      <c r="B186" s="14"/>
    </row>
    <row r="187" spans="2:2" x14ac:dyDescent="0.35">
      <c r="B187" s="14"/>
    </row>
    <row r="188" spans="2:2" x14ac:dyDescent="0.35">
      <c r="B188" s="14"/>
    </row>
    <row r="189" spans="2:2" x14ac:dyDescent="0.35">
      <c r="B189" s="14"/>
    </row>
    <row r="190" spans="2:2" x14ac:dyDescent="0.35">
      <c r="B190" s="14"/>
    </row>
    <row r="191" spans="2:2" x14ac:dyDescent="0.35">
      <c r="B191" s="14"/>
    </row>
    <row r="192" spans="2:2" x14ac:dyDescent="0.35">
      <c r="B192" s="14"/>
    </row>
    <row r="193" spans="2:2" x14ac:dyDescent="0.35">
      <c r="B193" s="14"/>
    </row>
    <row r="194" spans="2:2" x14ac:dyDescent="0.35">
      <c r="B194" s="14"/>
    </row>
    <row r="195" spans="2:2" x14ac:dyDescent="0.35">
      <c r="B195" s="14"/>
    </row>
    <row r="196" spans="2:2" x14ac:dyDescent="0.35">
      <c r="B196" s="14"/>
    </row>
    <row r="197" spans="2:2" x14ac:dyDescent="0.35">
      <c r="B197" s="14"/>
    </row>
    <row r="198" spans="2:2" x14ac:dyDescent="0.35">
      <c r="B198" s="14"/>
    </row>
    <row r="199" spans="2:2" x14ac:dyDescent="0.35">
      <c r="B199" s="14"/>
    </row>
    <row r="200" spans="2:2" x14ac:dyDescent="0.35">
      <c r="B200" s="14"/>
    </row>
    <row r="201" spans="2:2" x14ac:dyDescent="0.35">
      <c r="B201" s="14"/>
    </row>
    <row r="202" spans="2:2" x14ac:dyDescent="0.35">
      <c r="B202" s="14"/>
    </row>
    <row r="203" spans="2:2" x14ac:dyDescent="0.35">
      <c r="B203" s="14"/>
    </row>
    <row r="204" spans="2:2" x14ac:dyDescent="0.35">
      <c r="B204" s="14"/>
    </row>
    <row r="205" spans="2:2" x14ac:dyDescent="0.35">
      <c r="B205" s="14"/>
    </row>
    <row r="206" spans="2:2" x14ac:dyDescent="0.35">
      <c r="B206" s="14"/>
    </row>
    <row r="207" spans="2:2" x14ac:dyDescent="0.35">
      <c r="B207" s="14"/>
    </row>
    <row r="208" spans="2:2" x14ac:dyDescent="0.35">
      <c r="B208" s="14"/>
    </row>
    <row r="209" spans="2:2" x14ac:dyDescent="0.35">
      <c r="B209" s="14"/>
    </row>
    <row r="210" spans="2:2" x14ac:dyDescent="0.35">
      <c r="B210" s="14"/>
    </row>
    <row r="211" spans="2:2" x14ac:dyDescent="0.35">
      <c r="B211" s="14"/>
    </row>
    <row r="212" spans="2:2" x14ac:dyDescent="0.35">
      <c r="B212" s="14"/>
    </row>
    <row r="213" spans="2:2" x14ac:dyDescent="0.35">
      <c r="B213" s="14"/>
    </row>
    <row r="214" spans="2:2" x14ac:dyDescent="0.35">
      <c r="B214" s="14"/>
    </row>
    <row r="215" spans="2:2" x14ac:dyDescent="0.35">
      <c r="B215" s="14"/>
    </row>
    <row r="216" spans="2:2" x14ac:dyDescent="0.35">
      <c r="B216" s="14"/>
    </row>
    <row r="217" spans="2:2" x14ac:dyDescent="0.35">
      <c r="B217" s="14"/>
    </row>
    <row r="218" spans="2:2" x14ac:dyDescent="0.35">
      <c r="B218" s="14"/>
    </row>
    <row r="219" spans="2:2" x14ac:dyDescent="0.35">
      <c r="B219" s="14"/>
    </row>
    <row r="220" spans="2:2" x14ac:dyDescent="0.35">
      <c r="B220" s="14"/>
    </row>
    <row r="221" spans="2:2" x14ac:dyDescent="0.35">
      <c r="B221" s="14"/>
    </row>
    <row r="222" spans="2:2" x14ac:dyDescent="0.35">
      <c r="B222" s="14"/>
    </row>
    <row r="223" spans="2:2" x14ac:dyDescent="0.35">
      <c r="B223" s="14"/>
    </row>
    <row r="224" spans="2:2" x14ac:dyDescent="0.35">
      <c r="B224" s="14"/>
    </row>
    <row r="225" spans="2:2" x14ac:dyDescent="0.35">
      <c r="B225" s="14"/>
    </row>
    <row r="226" spans="2:2" x14ac:dyDescent="0.35">
      <c r="B226" s="14"/>
    </row>
    <row r="227" spans="2:2" x14ac:dyDescent="0.35">
      <c r="B227" s="14"/>
    </row>
    <row r="228" spans="2:2" x14ac:dyDescent="0.35">
      <c r="B228" s="14"/>
    </row>
    <row r="229" spans="2:2" x14ac:dyDescent="0.35">
      <c r="B229" s="14"/>
    </row>
    <row r="230" spans="2:2" x14ac:dyDescent="0.35">
      <c r="B230" s="14"/>
    </row>
    <row r="231" spans="2:2" x14ac:dyDescent="0.35">
      <c r="B231" s="14"/>
    </row>
    <row r="232" spans="2:2" x14ac:dyDescent="0.35">
      <c r="B232" s="14"/>
    </row>
    <row r="233" spans="2:2" x14ac:dyDescent="0.35">
      <c r="B233" s="14"/>
    </row>
    <row r="234" spans="2:2" x14ac:dyDescent="0.35">
      <c r="B234" s="14"/>
    </row>
    <row r="235" spans="2:2" x14ac:dyDescent="0.35">
      <c r="B235" s="14"/>
    </row>
    <row r="236" spans="2:2" x14ac:dyDescent="0.35">
      <c r="B236" s="14"/>
    </row>
    <row r="237" spans="2:2" x14ac:dyDescent="0.35">
      <c r="B237" s="14"/>
    </row>
    <row r="238" spans="2:2" x14ac:dyDescent="0.35">
      <c r="B238" s="14"/>
    </row>
    <row r="239" spans="2:2" x14ac:dyDescent="0.35">
      <c r="B239" s="14"/>
    </row>
    <row r="240" spans="2:2" x14ac:dyDescent="0.35">
      <c r="B240" s="14"/>
    </row>
    <row r="241" spans="2:2" x14ac:dyDescent="0.35">
      <c r="B241" s="14"/>
    </row>
    <row r="242" spans="2:2" x14ac:dyDescent="0.35">
      <c r="B242" s="14"/>
    </row>
    <row r="243" spans="2:2" x14ac:dyDescent="0.35">
      <c r="B243" s="14"/>
    </row>
    <row r="244" spans="2:2" x14ac:dyDescent="0.35">
      <c r="B244" s="14"/>
    </row>
    <row r="245" spans="2:2" x14ac:dyDescent="0.35">
      <c r="B245" s="14"/>
    </row>
    <row r="246" spans="2:2" x14ac:dyDescent="0.35">
      <c r="B246" s="14"/>
    </row>
    <row r="247" spans="2:2" x14ac:dyDescent="0.35">
      <c r="B247" s="14"/>
    </row>
    <row r="248" spans="2:2" x14ac:dyDescent="0.35">
      <c r="B248" s="14"/>
    </row>
    <row r="249" spans="2:2" x14ac:dyDescent="0.35">
      <c r="B249" s="14"/>
    </row>
    <row r="250" spans="2:2" x14ac:dyDescent="0.35">
      <c r="B250" s="14"/>
    </row>
    <row r="251" spans="2:2" x14ac:dyDescent="0.35">
      <c r="B251" s="14"/>
    </row>
    <row r="252" spans="2:2" x14ac:dyDescent="0.35">
      <c r="B252" s="14"/>
    </row>
    <row r="253" spans="2:2" x14ac:dyDescent="0.35">
      <c r="B253" s="14"/>
    </row>
    <row r="254" spans="2:2" x14ac:dyDescent="0.35">
      <c r="B254" s="14"/>
    </row>
    <row r="255" spans="2:2" x14ac:dyDescent="0.35">
      <c r="B255" s="14"/>
    </row>
    <row r="256" spans="2:2" x14ac:dyDescent="0.35">
      <c r="B256" s="14"/>
    </row>
    <row r="257" spans="2:2" x14ac:dyDescent="0.35">
      <c r="B257" s="14"/>
    </row>
    <row r="258" spans="2:2" x14ac:dyDescent="0.35">
      <c r="B258" s="14"/>
    </row>
    <row r="259" spans="2:2" x14ac:dyDescent="0.35">
      <c r="B259" s="14"/>
    </row>
    <row r="260" spans="2:2" x14ac:dyDescent="0.35">
      <c r="B260" s="14"/>
    </row>
    <row r="261" spans="2:2" x14ac:dyDescent="0.35">
      <c r="B261" s="14"/>
    </row>
    <row r="262" spans="2:2" x14ac:dyDescent="0.35">
      <c r="B262" s="14"/>
    </row>
    <row r="263" spans="2:2" x14ac:dyDescent="0.35">
      <c r="B263" s="14"/>
    </row>
    <row r="264" spans="2:2" x14ac:dyDescent="0.35">
      <c r="B264" s="14"/>
    </row>
    <row r="265" spans="2:2" x14ac:dyDescent="0.35">
      <c r="B265" s="14"/>
    </row>
    <row r="266" spans="2:2" x14ac:dyDescent="0.35">
      <c r="B266" s="14"/>
    </row>
    <row r="267" spans="2:2" x14ac:dyDescent="0.35">
      <c r="B267" s="14"/>
    </row>
    <row r="268" spans="2:2" x14ac:dyDescent="0.35">
      <c r="B268" s="14"/>
    </row>
    <row r="269" spans="2:2" x14ac:dyDescent="0.35">
      <c r="B269" s="14"/>
    </row>
    <row r="270" spans="2:2" x14ac:dyDescent="0.35">
      <c r="B270" s="14"/>
    </row>
    <row r="271" spans="2:2" x14ac:dyDescent="0.35">
      <c r="B271" s="14"/>
    </row>
    <row r="272" spans="2:2" x14ac:dyDescent="0.35">
      <c r="B272" s="14"/>
    </row>
    <row r="273" spans="2:2" x14ac:dyDescent="0.35">
      <c r="B273" s="14"/>
    </row>
    <row r="274" spans="2:2" x14ac:dyDescent="0.35">
      <c r="B274" s="14"/>
    </row>
    <row r="275" spans="2:2" x14ac:dyDescent="0.35">
      <c r="B275" s="14"/>
    </row>
    <row r="276" spans="2:2" x14ac:dyDescent="0.35">
      <c r="B276" s="14"/>
    </row>
    <row r="277" spans="2:2" x14ac:dyDescent="0.35">
      <c r="B277" s="14"/>
    </row>
    <row r="278" spans="2:2" x14ac:dyDescent="0.35">
      <c r="B278" s="14"/>
    </row>
    <row r="279" spans="2:2" x14ac:dyDescent="0.35">
      <c r="B279" s="14"/>
    </row>
    <row r="280" spans="2:2" x14ac:dyDescent="0.35">
      <c r="B280" s="14"/>
    </row>
    <row r="281" spans="2:2" x14ac:dyDescent="0.35">
      <c r="B281" s="14"/>
    </row>
    <row r="282" spans="2:2" x14ac:dyDescent="0.35">
      <c r="B282" s="14"/>
    </row>
    <row r="283" spans="2:2" x14ac:dyDescent="0.35">
      <c r="B283" s="14"/>
    </row>
    <row r="284" spans="2:2" x14ac:dyDescent="0.35">
      <c r="B284" s="14"/>
    </row>
    <row r="285" spans="2:2" x14ac:dyDescent="0.35">
      <c r="B285" s="14"/>
    </row>
    <row r="286" spans="2:2" x14ac:dyDescent="0.35">
      <c r="B286" s="14"/>
    </row>
    <row r="287" spans="2:2" x14ac:dyDescent="0.35">
      <c r="B287" s="14"/>
    </row>
    <row r="288" spans="2:2" x14ac:dyDescent="0.35">
      <c r="B288" s="14"/>
    </row>
    <row r="289" spans="2:2" x14ac:dyDescent="0.35">
      <c r="B289" s="14"/>
    </row>
    <row r="290" spans="2:2" x14ac:dyDescent="0.35">
      <c r="B290" s="14"/>
    </row>
    <row r="291" spans="2:2" x14ac:dyDescent="0.35">
      <c r="B291" s="14"/>
    </row>
    <row r="292" spans="2:2" x14ac:dyDescent="0.35">
      <c r="B292" s="14"/>
    </row>
    <row r="293" spans="2:2" x14ac:dyDescent="0.35">
      <c r="B293" s="14"/>
    </row>
    <row r="294" spans="2:2" x14ac:dyDescent="0.35">
      <c r="B294" s="14"/>
    </row>
    <row r="295" spans="2:2" x14ac:dyDescent="0.35">
      <c r="B295" s="14"/>
    </row>
    <row r="296" spans="2:2" x14ac:dyDescent="0.35">
      <c r="B296" s="14"/>
    </row>
    <row r="297" spans="2:2" x14ac:dyDescent="0.35">
      <c r="B297" s="14"/>
    </row>
    <row r="298" spans="2:2" x14ac:dyDescent="0.35">
      <c r="B298" s="14"/>
    </row>
    <row r="299" spans="2:2" x14ac:dyDescent="0.35">
      <c r="B299" s="14"/>
    </row>
    <row r="300" spans="2:2" x14ac:dyDescent="0.35">
      <c r="B300" s="14"/>
    </row>
    <row r="301" spans="2:2" x14ac:dyDescent="0.35">
      <c r="B301" s="14"/>
    </row>
    <row r="302" spans="2:2" x14ac:dyDescent="0.35">
      <c r="B302" s="14"/>
    </row>
    <row r="303" spans="2:2" x14ac:dyDescent="0.35">
      <c r="B303" s="14"/>
    </row>
    <row r="304" spans="2:2" x14ac:dyDescent="0.35">
      <c r="B304" s="14"/>
    </row>
  </sheetData>
  <mergeCells count="6">
    <mergeCell ref="A52:F52"/>
    <mergeCell ref="A1:E3"/>
    <mergeCell ref="A4:E4"/>
    <mergeCell ref="A8:G9"/>
    <mergeCell ref="A29:E29"/>
    <mergeCell ref="A41:F41"/>
  </mergeCells>
  <conditionalFormatting sqref="B54:B63">
    <cfRule type="colorScale" priority="2">
      <colorScale>
        <cfvo type="min"/>
        <cfvo type="percentile" val="50"/>
        <cfvo type="max"/>
        <color rgb="FFFFFFFF"/>
        <color rgb="FF9FE1CB"/>
        <color rgb="FF1D9E75"/>
      </colorScale>
    </cfRule>
  </conditionalFormatting>
  <conditionalFormatting sqref="C54:C63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{09F33007-0092-4EA8-B091-E283D398ECB9}</x14:id>
        </ext>
      </extLst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F33007-0092-4EA8-B091-E283D398ECB9}">
            <x14:dataBar axisPosition="none">
              <x14:cfvo type="min"/>
              <x14:cfvo type="max"/>
              <x14:negativeFillColor rgb="FF4472C4"/>
            </x14:dataBar>
          </x14:cfRule>
          <xm:sqref>C54:C63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F918-A32C-48F0-B1F5-D606B53508E9}">
  <dimension ref="A1:A11"/>
  <sheetViews>
    <sheetView zoomScale="84" workbookViewId="0">
      <selection sqref="A1:A11"/>
    </sheetView>
  </sheetViews>
  <sheetFormatPr defaultRowHeight="14.5" x14ac:dyDescent="0.35"/>
  <cols>
    <col min="1" max="1" width="49.1796875" customWidth="1"/>
  </cols>
  <sheetData>
    <row r="1" spans="1:1" x14ac:dyDescent="0.35">
      <c r="A1" s="8" t="s">
        <v>84</v>
      </c>
    </row>
    <row r="2" spans="1:1" ht="29" x14ac:dyDescent="0.35">
      <c r="A2" s="14" t="s">
        <v>85</v>
      </c>
    </row>
    <row r="3" spans="1:1" ht="29" x14ac:dyDescent="0.35">
      <c r="A3" s="14" t="s">
        <v>86</v>
      </c>
    </row>
    <row r="4" spans="1:1" ht="43.5" x14ac:dyDescent="0.35">
      <c r="A4" s="14" t="s">
        <v>87</v>
      </c>
    </row>
    <row r="5" spans="1:1" ht="43.5" x14ac:dyDescent="0.35">
      <c r="A5" s="14" t="s">
        <v>88</v>
      </c>
    </row>
    <row r="6" spans="1:1" ht="29" x14ac:dyDescent="0.35">
      <c r="A6" s="14" t="s">
        <v>89</v>
      </c>
    </row>
    <row r="7" spans="1:1" ht="29" x14ac:dyDescent="0.35">
      <c r="A7" s="14" t="s">
        <v>90</v>
      </c>
    </row>
    <row r="8" spans="1:1" ht="29" x14ac:dyDescent="0.35">
      <c r="A8" s="14" t="s">
        <v>91</v>
      </c>
    </row>
    <row r="9" spans="1:1" ht="43.5" x14ac:dyDescent="0.35">
      <c r="A9" s="14" t="s">
        <v>92</v>
      </c>
    </row>
    <row r="10" spans="1:1" ht="29" x14ac:dyDescent="0.35">
      <c r="A10" s="14" t="s">
        <v>93</v>
      </c>
    </row>
    <row r="11" spans="1:1" ht="29" x14ac:dyDescent="0.35">
      <c r="A11" s="14" t="s">
        <v>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 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Akor</dc:creator>
  <cp:lastModifiedBy>Grace Ehi Akor</cp:lastModifiedBy>
  <dcterms:created xsi:type="dcterms:W3CDTF">2026-06-06T21:31:18Z</dcterms:created>
  <dcterms:modified xsi:type="dcterms:W3CDTF">2026-06-06T21:57:07Z</dcterms:modified>
</cp:coreProperties>
</file>